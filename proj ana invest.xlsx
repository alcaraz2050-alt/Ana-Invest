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dc3b69114b3dd/Arquivos de Microsoft Copilot Chat/Documentos/"/>
    </mc:Choice>
  </mc:AlternateContent>
  <xr:revisionPtr revIDLastSave="384" documentId="8_{0E34DC5F-BACE-4D70-9E47-B9A310FA9EED}" xr6:coauthVersionLast="47" xr6:coauthVersionMax="47" xr10:uidLastSave="{141B3314-0BB7-4B99-B946-CCAB1CE5A124}"/>
  <bookViews>
    <workbookView xWindow="-108" yWindow="-108" windowWidth="23256" windowHeight="12456" xr2:uid="{1B59D957-D442-4FC4-9544-8946DEBD0E36}"/>
  </bookViews>
  <sheets>
    <sheet name="Planilha2" sheetId="2" r:id="rId1"/>
    <sheet name="Planilha1" sheetId="3" r:id="rId2"/>
  </sheets>
  <definedNames>
    <definedName name="Aporte">Planilha2!$C$16</definedName>
    <definedName name="Dividendos_mensais">Planilha2!$B$20</definedName>
    <definedName name="Patrimonio">Planilha2!$C$19</definedName>
    <definedName name="Qtd_anos">Planilha2!$C$17</definedName>
    <definedName name="Rendimento_carteira">Planilha2!$C$12</definedName>
    <definedName name="Salario">Planilha2!$C$11</definedName>
    <definedName name="Taxa_mensal">Planilha2!$C$18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2" l="1"/>
  <c r="C38" i="2"/>
  <c r="C39" i="2"/>
  <c r="C40" i="2"/>
  <c r="C41" i="2"/>
  <c r="C36" i="2"/>
  <c r="H4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" i="3"/>
  <c r="C33" i="2"/>
  <c r="C24" i="2"/>
  <c r="D24" i="2" s="1"/>
  <c r="C25" i="2"/>
  <c r="D25" i="2" s="1"/>
  <c r="C26" i="2"/>
  <c r="D26" i="2" s="1"/>
  <c r="C27" i="2"/>
  <c r="D27" i="2" s="1"/>
  <c r="C23" i="2"/>
  <c r="D23" i="2" s="1"/>
  <c r="C19" i="2"/>
  <c r="C20" i="2" s="1"/>
  <c r="C13" i="2"/>
  <c r="D38" i="2" l="1"/>
  <c r="D39" i="2"/>
  <c r="D40" i="2"/>
  <c r="D36" i="2"/>
  <c r="D41" i="2"/>
  <c r="D37" i="2"/>
  <c r="D42" i="2" l="1"/>
</calcChain>
</file>

<file path=xl/sharedStrings.xml><?xml version="1.0" encoding="utf-8"?>
<sst xmlns="http://schemas.openxmlformats.org/spreadsheetml/2006/main" count="71" uniqueCount="35">
  <si>
    <t>Por quantos anos investir?</t>
  </si>
  <si>
    <t>Taxa de rendimentos mensal?</t>
  </si>
  <si>
    <t>Quanto investir por mês?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</si>
  <si>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</si>
  <si>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</si>
  <si>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</si>
  <si>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</si>
  <si>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</si>
  <si>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</si>
  <si>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</si>
  <si>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</si>
  <si>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</si>
  <si>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</si>
  <si>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Configuraçãoes</t>
  </si>
  <si>
    <t>Salário</t>
  </si>
  <si>
    <t>Rendimentos Carteira</t>
  </si>
  <si>
    <t>Sugestão investimento</t>
  </si>
  <si>
    <t>Perfil</t>
  </si>
  <si>
    <t>Moderado</t>
  </si>
  <si>
    <t>Agressivo</t>
  </si>
  <si>
    <t>Valor a ser investido por mês</t>
  </si>
  <si>
    <t>Tipo de FII</t>
  </si>
  <si>
    <t>Percential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</si>
  <si>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</si>
  <si>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</si>
  <si>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</si>
  <si>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</si>
  <si>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</si>
  <si>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</si>
  <si>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</si>
  <si>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Tipos de FII</t>
  </si>
  <si>
    <t>%</t>
  </si>
  <si>
    <t>Conservador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</si>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</sst>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/>
      </right>
      <top style="medium">
        <color theme="0" tint="-0.2499465926084170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 tint="-0.24994659260841701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 tint="-0.24994659260841701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theme="0" tint="-0.249977111117893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 tint="-0.249977111117893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4" fillId="3" borderId="6" xfId="0" applyFont="1" applyFill="1" applyBorder="1"/>
    <xf numFmtId="0" fontId="4" fillId="3" borderId="9" xfId="0" applyFont="1" applyFill="1" applyBorder="1"/>
    <xf numFmtId="0" fontId="4" fillId="3" borderId="12" xfId="0" applyFont="1" applyFill="1" applyBorder="1"/>
    <xf numFmtId="8" fontId="0" fillId="3" borderId="11" xfId="0" applyNumberFormat="1" applyFill="1" applyBorder="1"/>
    <xf numFmtId="8" fontId="0" fillId="3" borderId="14" xfId="0" applyNumberFormat="1" applyFill="1" applyBorder="1"/>
    <xf numFmtId="8" fontId="0" fillId="3" borderId="8" xfId="0" applyNumberFormat="1" applyFill="1" applyBorder="1"/>
    <xf numFmtId="0" fontId="7" fillId="2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8" fontId="0" fillId="3" borderId="7" xfId="0" applyNumberFormat="1" applyFill="1" applyBorder="1" applyAlignment="1">
      <alignment horizontal="right"/>
    </xf>
    <xf numFmtId="8" fontId="0" fillId="3" borderId="10" xfId="0" applyNumberFormat="1" applyFill="1" applyBorder="1" applyAlignment="1">
      <alignment horizontal="right"/>
    </xf>
    <xf numFmtId="8" fontId="0" fillId="3" borderId="13" xfId="0" applyNumberFormat="1" applyFill="1" applyBorder="1" applyAlignment="1">
      <alignment horizontal="right"/>
    </xf>
    <xf numFmtId="0" fontId="4" fillId="0" borderId="15" xfId="0" applyFont="1" applyBorder="1"/>
    <xf numFmtId="166" fontId="0" fillId="0" borderId="16" xfId="1" applyNumberFormat="1" applyFont="1" applyBorder="1" applyAlignment="1">
      <alignment horizontal="right"/>
    </xf>
    <xf numFmtId="0" fontId="4" fillId="0" borderId="9" xfId="0" applyFont="1" applyBorder="1"/>
    <xf numFmtId="0" fontId="0" fillId="0" borderId="11" xfId="0" applyBorder="1" applyAlignment="1">
      <alignment horizontal="right"/>
    </xf>
    <xf numFmtId="10" fontId="0" fillId="0" borderId="11" xfId="0" applyNumberFormat="1" applyBorder="1" applyAlignment="1">
      <alignment horizontal="right"/>
    </xf>
    <xf numFmtId="0" fontId="5" fillId="3" borderId="9" xfId="0" applyFont="1" applyFill="1" applyBorder="1"/>
    <xf numFmtId="8" fontId="6" fillId="3" borderId="11" xfId="0" applyNumberFormat="1" applyFont="1" applyFill="1" applyBorder="1" applyAlignment="1">
      <alignment horizontal="right"/>
    </xf>
    <xf numFmtId="0" fontId="5" fillId="3" borderId="12" xfId="0" applyFont="1" applyFill="1" applyBorder="1"/>
    <xf numFmtId="8" fontId="6" fillId="3" borderId="14" xfId="0" applyNumberFormat="1" applyFont="1" applyFill="1" applyBorder="1" applyAlignment="1">
      <alignment horizontal="right"/>
    </xf>
    <xf numFmtId="0" fontId="4" fillId="6" borderId="17" xfId="0" applyFont="1" applyFill="1" applyBorder="1"/>
    <xf numFmtId="166" fontId="0" fillId="0" borderId="18" xfId="1" applyNumberFormat="1" applyFont="1" applyBorder="1" applyAlignment="1">
      <alignment horizontal="right" vertical="center"/>
    </xf>
    <xf numFmtId="0" fontId="4" fillId="6" borderId="9" xfId="0" applyFont="1" applyFill="1" applyBorder="1"/>
    <xf numFmtId="10" fontId="0" fillId="0" borderId="11" xfId="0" applyNumberFormat="1" applyBorder="1" applyAlignment="1">
      <alignment horizontal="right" vertical="center"/>
    </xf>
    <xf numFmtId="0" fontId="4" fillId="6" borderId="12" xfId="0" applyFont="1" applyFill="1" applyBorder="1"/>
    <xf numFmtId="166" fontId="0" fillId="6" borderId="14" xfId="0" applyNumberFormat="1" applyFill="1" applyBorder="1" applyAlignment="1">
      <alignment horizontal="right" vertical="center"/>
    </xf>
    <xf numFmtId="0" fontId="9" fillId="5" borderId="0" xfId="3"/>
    <xf numFmtId="0" fontId="10" fillId="0" borderId="0" xfId="0" applyFont="1"/>
    <xf numFmtId="166" fontId="10" fillId="0" borderId="0" xfId="1" applyNumberFormat="1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/>
    <xf numFmtId="0" fontId="11" fillId="7" borderId="0" xfId="0" applyFont="1" applyFill="1" applyAlignment="1">
      <alignment horizontal="center"/>
    </xf>
    <xf numFmtId="166" fontId="11" fillId="7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9" xfId="0" applyBorder="1"/>
    <xf numFmtId="0" fontId="0" fillId="0" borderId="19" xfId="0" applyBorder="1" applyAlignment="1">
      <alignment horizontal="center"/>
    </xf>
    <xf numFmtId="9" fontId="0" fillId="0" borderId="19" xfId="0" applyNumberFormat="1" applyBorder="1" applyAlignment="1">
      <alignment horizontal="center"/>
    </xf>
    <xf numFmtId="9" fontId="0" fillId="0" borderId="0" xfId="2" applyFont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Planilha2!$B$36:$B$41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Planilha2!$C$36:$C$41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9-4255-AAAF-4963DB917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556260</xdr:colOff>
      <xdr:row>0</xdr:row>
      <xdr:rowOff>0</xdr:rowOff>
    </xdr:from>
    <xdr:to>
      <xdr:col>3</xdr:col>
      <xdr:colOff>358140</xdr:colOff>
      <xdr:row>8</xdr:row>
      <xdr:rowOff>89384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745682-68A9-452F-941E-427BE0E8F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" y="0"/>
          <a:ext cx="3611880" cy="1552424"/>
        </a:xfrm>
        <a:prstGeom prst="rect">
          <a:avLst/>
        </a:prstGeom>
      </xdr:spPr>
    </xdr:pic>
    <xdr:clientData/>
  </xdr:twoCellAnchor>
  <xdr:twoCellAnchor>
    <xdr:from>
      <xdr:col>1</xdr:col>
      <xdr:colOff>3810</xdr:colOff>
      <xdr:row>43</xdr:row>
      <xdr:rowOff>110490</xdr:rowOff>
    </xdr:from>
    <xdr:to>
      <xdr:col>4</xdr:col>
      <xdr:colOff>582930</xdr:colOff>
      <xdr:row>58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D21169-98D1-C525-0D43-6D7FF19C3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84B6-2495-47BF-981B-8644AC74C955}">
  <dimension ref="A9:F58"/>
  <sheetViews>
    <sheetView showGridLines="0" showRowColHeaders="0" tabSelected="1" topLeftCell="A19" workbookViewId="0">
      <selection activeCell="C12" sqref="C12"/>
    </sheetView>
  </sheetViews>
  <sheetFormatPr defaultColWidth="0" defaultRowHeight="14.4" x14ac:dyDescent="0.3"/>
  <cols>
    <col min="1" max="1" width="8.88671875" customWidth="1"/>
    <col min="2" max="2" width="28" bestFit="1" customWidth="1"/>
    <col min="3" max="3" width="18.6640625" customWidth="1"/>
    <col min="4" max="4" width="11.5546875" bestFit="1" customWidth="1"/>
    <col min="5" max="5" width="18.6640625" bestFit="1" customWidth="1"/>
    <col min="6" max="6" width="11.88671875" bestFit="1" customWidth="1"/>
    <col min="7" max="8" width="8.88671875" customWidth="1"/>
    <col min="9" max="11" width="8.88671875" hidden="1" customWidth="1"/>
    <col min="12" max="16384" width="8.88671875" hidden="1"/>
  </cols>
  <sheetData>
    <row r="9" spans="2:3" ht="15" thickBot="1" x14ac:dyDescent="0.35"/>
    <row r="10" spans="2:3" ht="17.399999999999999" x14ac:dyDescent="0.3">
      <c r="B10" s="9" t="s">
        <v>13</v>
      </c>
      <c r="C10" s="10"/>
    </row>
    <row r="11" spans="2:3" ht="16.2" thickBot="1" x14ac:dyDescent="0.35">
      <c r="B11" s="27" t="s">
        <v>14</v>
      </c>
      <c r="C11" s="28">
        <v>2000</v>
      </c>
    </row>
    <row r="12" spans="2:3" ht="16.2" thickBot="1" x14ac:dyDescent="0.35">
      <c r="B12" s="29" t="s">
        <v>15</v>
      </c>
      <c r="C12" s="30">
        <v>6.0000000000000001E-3</v>
      </c>
    </row>
    <row r="13" spans="2:3" ht="16.2" thickBot="1" x14ac:dyDescent="0.35">
      <c r="B13" s="31" t="s">
        <v>16</v>
      </c>
      <c r="C13" s="32">
        <f>C11*30%</f>
        <v>600</v>
      </c>
    </row>
    <row r="14" spans="2:3" ht="15" thickBot="1" x14ac:dyDescent="0.35"/>
    <row r="15" spans="2:3" ht="39" customHeight="1" thickBot="1" x14ac:dyDescent="0.35">
      <c r="B15" s="11" t="s">
        <v>5</v>
      </c>
      <c r="C15" s="12"/>
    </row>
    <row r="16" spans="2:3" ht="16.2" thickBot="1" x14ac:dyDescent="0.35">
      <c r="B16" s="18" t="s">
        <v>2</v>
      </c>
      <c r="C16" s="19">
        <v>200</v>
      </c>
    </row>
    <row r="17" spans="1:4" ht="16.2" thickBot="1" x14ac:dyDescent="0.35">
      <c r="B17" s="20" t="s">
        <v>0</v>
      </c>
      <c r="C17" s="21">
        <v>5</v>
      </c>
    </row>
    <row r="18" spans="1:4" ht="16.2" thickBot="1" x14ac:dyDescent="0.35">
      <c r="B18" s="20" t="s">
        <v>1</v>
      </c>
      <c r="C18" s="22">
        <v>1.0789999999999999E-2</v>
      </c>
    </row>
    <row r="19" spans="1:4" ht="16.2" thickBot="1" x14ac:dyDescent="0.35">
      <c r="B19" s="23" t="s">
        <v>3</v>
      </c>
      <c r="C19" s="24">
        <f>FV(Taxa_mensal,Qtd_anos*12,-Aporte)</f>
        <v>16755.382799697527</v>
      </c>
    </row>
    <row r="20" spans="1:4" ht="16.2" thickBot="1" x14ac:dyDescent="0.35">
      <c r="B20" s="25" t="s">
        <v>4</v>
      </c>
      <c r="C20" s="26">
        <f>Patrimonio*Rendimento_carteira</f>
        <v>100.53229679818516</v>
      </c>
    </row>
    <row r="21" spans="1:4" ht="15" thickBot="1" x14ac:dyDescent="0.35"/>
    <row r="22" spans="1:4" ht="26.4" thickBot="1" x14ac:dyDescent="0.35">
      <c r="B22" s="13" t="s">
        <v>11</v>
      </c>
      <c r="C22" s="14"/>
      <c r="D22" s="8" t="s">
        <v>12</v>
      </c>
    </row>
    <row r="23" spans="1:4" ht="16.2" thickBot="1" x14ac:dyDescent="0.35">
      <c r="A23" s="1">
        <v>2</v>
      </c>
      <c r="B23" s="2" t="s">
        <v>6</v>
      </c>
      <c r="C23" s="15">
        <f>FV(Taxa_mensal,A23*12,-Aporte)</f>
        <v>5445.5254595290435</v>
      </c>
      <c r="D23" s="7">
        <f>C23*Rendimento_carteira</f>
        <v>32.673152757174265</v>
      </c>
    </row>
    <row r="24" spans="1:4" ht="16.2" thickBot="1" x14ac:dyDescent="0.35">
      <c r="A24" s="1">
        <v>5</v>
      </c>
      <c r="B24" s="3" t="s">
        <v>7</v>
      </c>
      <c r="C24" s="16">
        <f>FV(Taxa_mensal,A24*12,-Aporte)</f>
        <v>16755.382799697527</v>
      </c>
      <c r="D24" s="5">
        <f>C24*Rendimento_carteira</f>
        <v>100.53229679818516</v>
      </c>
    </row>
    <row r="25" spans="1:4" ht="16.2" thickBot="1" x14ac:dyDescent="0.35">
      <c r="A25" s="1">
        <v>10</v>
      </c>
      <c r="B25" s="3" t="s">
        <v>8</v>
      </c>
      <c r="C25" s="16">
        <f>FV(Taxa_mensal,A25*12,-Aporte)</f>
        <v>48656.842506034438</v>
      </c>
      <c r="D25" s="5">
        <f>C25*Rendimento_carteira</f>
        <v>291.94105503620665</v>
      </c>
    </row>
    <row r="26" spans="1:4" ht="16.2" thickBot="1" x14ac:dyDescent="0.35">
      <c r="A26" s="1">
        <v>20</v>
      </c>
      <c r="B26" s="3" t="s">
        <v>9</v>
      </c>
      <c r="C26" s="16">
        <f>FV(Taxa_mensal,A26*12,-Aporte)</f>
        <v>225039.68001941612</v>
      </c>
      <c r="D26" s="5">
        <f>C26*Rendimento_carteira</f>
        <v>1350.2380801164968</v>
      </c>
    </row>
    <row r="27" spans="1:4" ht="16.2" thickBot="1" x14ac:dyDescent="0.35">
      <c r="A27" s="1">
        <v>30</v>
      </c>
      <c r="B27" s="4" t="s">
        <v>10</v>
      </c>
      <c r="C27" s="17">
        <f>FV(Taxa_mensal,A27*12,-Aporte)</f>
        <v>864433.93100094295</v>
      </c>
      <c r="D27" s="6">
        <f>C27*Rendimento_carteira</f>
        <v>5186.6035860056581</v>
      </c>
    </row>
    <row r="32" spans="1:4" x14ac:dyDescent="0.3">
      <c r="B32" s="33" t="s">
        <v>17</v>
      </c>
      <c r="C32" s="33" t="s">
        <v>18</v>
      </c>
      <c r="D32" s="33"/>
    </row>
    <row r="33" spans="2:4" x14ac:dyDescent="0.3">
      <c r="B33" s="34" t="s">
        <v>20</v>
      </c>
      <c r="C33" s="35">
        <f>Aporte</f>
        <v>200</v>
      </c>
    </row>
    <row r="35" spans="2:4" x14ac:dyDescent="0.3">
      <c r="B35" s="39" t="s">
        <v>21</v>
      </c>
      <c r="C35" s="39" t="s">
        <v>22</v>
      </c>
      <c r="D35" s="39" t="s">
        <v>23</v>
      </c>
    </row>
    <row r="36" spans="2:4" x14ac:dyDescent="0.3">
      <c r="B36" s="36" t="s">
        <v>24</v>
      </c>
      <c r="C36" s="37">
        <f>VLOOKUP($C$32&amp;"-"&amp;B36,Planilha1!$A:$D,4,FALSE)</f>
        <v>0.32</v>
      </c>
      <c r="D36" s="38">
        <f>$C$33*C36</f>
        <v>64</v>
      </c>
    </row>
    <row r="37" spans="2:4" x14ac:dyDescent="0.3">
      <c r="B37" s="36" t="s">
        <v>25</v>
      </c>
      <c r="C37" s="37">
        <f>VLOOKUP($C$32&amp;"-"&amp;B37,Planilha1!$A:$D,4,FALSE)</f>
        <v>0.4</v>
      </c>
      <c r="D37" s="38">
        <f t="shared" ref="D37:D41" si="0">$C$33*C37</f>
        <v>80</v>
      </c>
    </row>
    <row r="38" spans="2:4" x14ac:dyDescent="0.3">
      <c r="B38" s="36" t="s">
        <v>26</v>
      </c>
      <c r="C38" s="37">
        <f>VLOOKUP($C$32&amp;"-"&amp;B38,Planilha1!$A:$D,4,FALSE)</f>
        <v>0.08</v>
      </c>
      <c r="D38" s="38">
        <f t="shared" si="0"/>
        <v>16</v>
      </c>
    </row>
    <row r="39" spans="2:4" x14ac:dyDescent="0.3">
      <c r="B39" s="36" t="s">
        <v>27</v>
      </c>
      <c r="C39" s="37">
        <f>VLOOKUP($C$32&amp;"-"&amp;B39,Planilha1!$A:$D,4,FALSE)</f>
        <v>0.1</v>
      </c>
      <c r="D39" s="38">
        <f t="shared" si="0"/>
        <v>20</v>
      </c>
    </row>
    <row r="40" spans="2:4" x14ac:dyDescent="0.3">
      <c r="B40" s="36" t="s">
        <v>28</v>
      </c>
      <c r="C40" s="37">
        <f>VLOOKUP($C$32&amp;"-"&amp;B40,Planilha1!$A:$D,4,FALSE)</f>
        <v>0.05</v>
      </c>
      <c r="D40" s="38">
        <f t="shared" si="0"/>
        <v>10</v>
      </c>
    </row>
    <row r="41" spans="2:4" x14ac:dyDescent="0.3">
      <c r="B41" s="36" t="s">
        <v>29</v>
      </c>
      <c r="C41" s="37">
        <f>VLOOKUP($C$32&amp;"-"&amp;B41,Planilha1!$A:$D,4,FALSE)</f>
        <v>0.05</v>
      </c>
      <c r="D41" s="38">
        <f t="shared" si="0"/>
        <v>10</v>
      </c>
    </row>
    <row r="42" spans="2:4" x14ac:dyDescent="0.3">
      <c r="B42" s="39"/>
      <c r="C42" s="39"/>
      <c r="D42" s="40">
        <f>SUM(D36:D41)</f>
        <v>200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</sheetData>
  <mergeCells count="3">
    <mergeCell ref="B10:C10"/>
    <mergeCell ref="B15:C15"/>
    <mergeCell ref="B22:C22"/>
  </mergeCells>
  <dataValidations count="1">
    <dataValidation type="list" allowBlank="1" showInputMessage="1" showErrorMessage="1" sqref="C32" xr:uid="{4DFE930F-C550-48A9-8EB9-30A0475365B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5784-E64B-4331-AA4E-20C075856EBA}">
  <dimension ref="A1:H19"/>
  <sheetViews>
    <sheetView workbookViewId="0">
      <selection activeCell="G7" sqref="G7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7" max="7" width="15.44140625" bestFit="1" customWidth="1"/>
  </cols>
  <sheetData>
    <row r="1" spans="1:8" x14ac:dyDescent="0.3">
      <c r="A1" t="s">
        <v>33</v>
      </c>
      <c r="B1" t="s">
        <v>17</v>
      </c>
      <c r="C1" t="s">
        <v>30</v>
      </c>
      <c r="D1" t="s">
        <v>31</v>
      </c>
    </row>
    <row r="2" spans="1:8" x14ac:dyDescent="0.3">
      <c r="A2" s="42" t="str">
        <f>B2&amp;"-"&amp;C2</f>
        <v>Conservador-PAPEL</v>
      </c>
      <c r="B2" s="43" t="s">
        <v>32</v>
      </c>
      <c r="C2" s="44" t="s">
        <v>24</v>
      </c>
      <c r="D2" s="45">
        <v>0.3</v>
      </c>
    </row>
    <row r="3" spans="1:8" x14ac:dyDescent="0.3">
      <c r="A3" s="42" t="str">
        <f t="shared" ref="A3:A19" si="0">B3&amp;"-"&amp;C3</f>
        <v>Conservador-TIJOLO</v>
      </c>
      <c r="B3" s="43" t="s">
        <v>32</v>
      </c>
      <c r="C3" s="44" t="s">
        <v>25</v>
      </c>
      <c r="D3" s="45">
        <v>0.5</v>
      </c>
      <c r="H3" t="s">
        <v>31</v>
      </c>
    </row>
    <row r="4" spans="1:8" x14ac:dyDescent="0.3">
      <c r="A4" s="42" t="str">
        <f t="shared" si="0"/>
        <v>Conservador-HÍBRIDOS</v>
      </c>
      <c r="B4" s="43" t="s">
        <v>32</v>
      </c>
      <c r="C4" s="44" t="s">
        <v>26</v>
      </c>
      <c r="D4" s="45">
        <v>0.1</v>
      </c>
      <c r="G4" s="33" t="s">
        <v>34</v>
      </c>
      <c r="H4" s="50">
        <f>VLOOKUP(G4,$A:$D,4,FALSE)</f>
        <v>0.4</v>
      </c>
    </row>
    <row r="5" spans="1:8" x14ac:dyDescent="0.3">
      <c r="A5" s="42" t="str">
        <f t="shared" si="0"/>
        <v>Conservador-FOFs</v>
      </c>
      <c r="B5" s="43" t="s">
        <v>32</v>
      </c>
      <c r="C5" s="44" t="s">
        <v>27</v>
      </c>
      <c r="D5" s="45">
        <v>0.1</v>
      </c>
    </row>
    <row r="6" spans="1:8" x14ac:dyDescent="0.3">
      <c r="A6" s="42" t="str">
        <f t="shared" si="0"/>
        <v>Conservador-DESENVOLVIMENTO</v>
      </c>
      <c r="B6" s="43" t="s">
        <v>32</v>
      </c>
      <c r="C6" s="44" t="s">
        <v>28</v>
      </c>
      <c r="D6" s="45">
        <v>0</v>
      </c>
    </row>
    <row r="7" spans="1:8" ht="15" thickBot="1" x14ac:dyDescent="0.35">
      <c r="A7" s="46" t="str">
        <f t="shared" si="0"/>
        <v>Conservador-HOTELARIAS</v>
      </c>
      <c r="B7" s="47" t="s">
        <v>32</v>
      </c>
      <c r="C7" s="48" t="s">
        <v>29</v>
      </c>
      <c r="D7" s="49">
        <v>0</v>
      </c>
    </row>
    <row r="8" spans="1:8" x14ac:dyDescent="0.3">
      <c r="A8" s="41" t="str">
        <f t="shared" si="0"/>
        <v>Moderado-PAPEL</v>
      </c>
      <c r="B8" t="s">
        <v>18</v>
      </c>
      <c r="C8" s="36" t="s">
        <v>24</v>
      </c>
      <c r="D8" s="37">
        <v>0.32</v>
      </c>
    </row>
    <row r="9" spans="1:8" x14ac:dyDescent="0.3">
      <c r="A9" s="41" t="str">
        <f t="shared" si="0"/>
        <v>Moderado-TIJOLO</v>
      </c>
      <c r="B9" t="s">
        <v>18</v>
      </c>
      <c r="C9" s="36" t="s">
        <v>25</v>
      </c>
      <c r="D9" s="37">
        <v>0.4</v>
      </c>
    </row>
    <row r="10" spans="1:8" x14ac:dyDescent="0.3">
      <c r="A10" s="41" t="str">
        <f t="shared" si="0"/>
        <v>Moderado-HÍBRIDOS</v>
      </c>
      <c r="B10" t="s">
        <v>18</v>
      </c>
      <c r="C10" s="36" t="s">
        <v>26</v>
      </c>
      <c r="D10" s="37">
        <v>0.08</v>
      </c>
    </row>
    <row r="11" spans="1:8" x14ac:dyDescent="0.3">
      <c r="A11" s="41" t="str">
        <f t="shared" si="0"/>
        <v>Moderado-FOFs</v>
      </c>
      <c r="B11" t="s">
        <v>18</v>
      </c>
      <c r="C11" s="36" t="s">
        <v>27</v>
      </c>
      <c r="D11" s="37">
        <v>0.1</v>
      </c>
    </row>
    <row r="12" spans="1:8" x14ac:dyDescent="0.3">
      <c r="A12" s="41" t="str">
        <f t="shared" si="0"/>
        <v>Moderado-DESENVOLVIMENTO</v>
      </c>
      <c r="B12" t="s">
        <v>18</v>
      </c>
      <c r="C12" s="36" t="s">
        <v>28</v>
      </c>
      <c r="D12" s="37">
        <v>0.05</v>
      </c>
    </row>
    <row r="13" spans="1:8" ht="15" thickBot="1" x14ac:dyDescent="0.35">
      <c r="A13" s="46" t="str">
        <f t="shared" si="0"/>
        <v>Moderado-HOTELARIAS</v>
      </c>
      <c r="B13" s="47" t="s">
        <v>18</v>
      </c>
      <c r="C13" s="48" t="s">
        <v>29</v>
      </c>
      <c r="D13" s="49">
        <v>0.05</v>
      </c>
    </row>
    <row r="14" spans="1:8" x14ac:dyDescent="0.3">
      <c r="A14" s="41" t="str">
        <f t="shared" si="0"/>
        <v>Agressivo-PAPEL</v>
      </c>
      <c r="B14" t="s">
        <v>19</v>
      </c>
      <c r="C14" s="36" t="s">
        <v>24</v>
      </c>
      <c r="D14" s="37">
        <v>0.5</v>
      </c>
    </row>
    <row r="15" spans="1:8" x14ac:dyDescent="0.3">
      <c r="A15" s="41" t="str">
        <f t="shared" si="0"/>
        <v>Agressivo-TIJOLO</v>
      </c>
      <c r="B15" t="s">
        <v>19</v>
      </c>
      <c r="C15" s="36" t="s">
        <v>25</v>
      </c>
      <c r="D15" s="37">
        <v>0.1</v>
      </c>
    </row>
    <row r="16" spans="1:8" x14ac:dyDescent="0.3">
      <c r="A16" s="41" t="str">
        <f t="shared" si="0"/>
        <v>Agressivo-HÍBRIDOS</v>
      </c>
      <c r="B16" t="s">
        <v>19</v>
      </c>
      <c r="C16" s="36" t="s">
        <v>26</v>
      </c>
      <c r="D16" s="37">
        <v>0.05</v>
      </c>
    </row>
    <row r="17" spans="1:4" x14ac:dyDescent="0.3">
      <c r="A17" s="41" t="str">
        <f t="shared" si="0"/>
        <v>Agressivo-FOFs</v>
      </c>
      <c r="B17" t="s">
        <v>19</v>
      </c>
      <c r="C17" s="36" t="s">
        <v>27</v>
      </c>
      <c r="D17" s="37">
        <v>0.05</v>
      </c>
    </row>
    <row r="18" spans="1:4" x14ac:dyDescent="0.3">
      <c r="A18" s="41" t="str">
        <f t="shared" si="0"/>
        <v>Agressivo-DESENVOLVIMENTO</v>
      </c>
      <c r="B18" t="s">
        <v>19</v>
      </c>
      <c r="C18" s="36" t="s">
        <v>28</v>
      </c>
      <c r="D18" s="37">
        <v>0.2</v>
      </c>
    </row>
    <row r="19" spans="1:4" x14ac:dyDescent="0.3">
      <c r="A19" s="41" t="str">
        <f t="shared" si="0"/>
        <v>Agressivo-HOTELARIAS</v>
      </c>
      <c r="B19" t="s">
        <v>19</v>
      </c>
      <c r="C19" s="36" t="s">
        <v>29</v>
      </c>
      <c r="D19" s="3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Planilha2</vt:lpstr>
      <vt:lpstr>Planilha1</vt:lpstr>
      <vt:lpstr>Aporte</vt:lpstr>
      <vt:lpstr>Dividendos_mensais</vt:lpstr>
      <vt:lpstr>Patrimonio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Alcaraz</dc:creator>
  <cp:lastModifiedBy>Ana Alcaraz</cp:lastModifiedBy>
  <dcterms:created xsi:type="dcterms:W3CDTF">2026-10-27T20:24:49Z</dcterms:created>
  <dcterms:modified xsi:type="dcterms:W3CDTF">2026-10-28T21:06:17Z</dcterms:modified>
</cp:coreProperties>
</file>